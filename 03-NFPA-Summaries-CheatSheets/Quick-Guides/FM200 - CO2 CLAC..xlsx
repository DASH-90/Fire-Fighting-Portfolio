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1MPE-Ibrahim Lasheen\CONTENT\MEP\LASHIN\MEP\Fire Fighting\Excell Sheets\"/>
    </mc:Choice>
  </mc:AlternateContent>
  <xr:revisionPtr revIDLastSave="0" documentId="13_ncr:1_{98F2561D-1FA7-4265-9511-277AF9D1C45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2" sheetId="1" r:id="rId1"/>
    <sheet name="FM20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7" i="2" l="1"/>
  <c r="C34" i="2" s="1"/>
  <c r="E38" i="2"/>
  <c r="B17" i="2"/>
  <c r="B22" i="2" s="1"/>
  <c r="B23" i="2" s="1"/>
  <c r="C15" i="1"/>
  <c r="C18" i="1" s="1"/>
  <c r="E21" i="1" s="1"/>
  <c r="C14" i="1"/>
  <c r="B43" i="2" l="1"/>
  <c r="D45" i="2" s="1"/>
</calcChain>
</file>

<file path=xl/sharedStrings.xml><?xml version="1.0" encoding="utf-8"?>
<sst xmlns="http://schemas.openxmlformats.org/spreadsheetml/2006/main" count="51" uniqueCount="41">
  <si>
    <t>Total Flooding System</t>
  </si>
  <si>
    <t>CO2 quantity = Hazard remote volume (V) x Flooding Factor</t>
  </si>
  <si>
    <t>Where:</t>
  </si>
  <si>
    <t>Flooding Factor for room volume less than 56.6m3 the flooding factor should be 1.6kg CO2/m3</t>
  </si>
  <si>
    <t>, and for room volume greater than 56.6m3 the flooding factor should be 1.33kg CO2/m3</t>
  </si>
  <si>
    <t>(NFPA 12, Table 2-4.2.1 )</t>
  </si>
  <si>
    <t>Input Data</t>
  </si>
  <si>
    <t>V=</t>
  </si>
  <si>
    <t>m3</t>
  </si>
  <si>
    <t>ft3</t>
  </si>
  <si>
    <t>Flooding Factor=</t>
  </si>
  <si>
    <t>Output Data</t>
  </si>
  <si>
    <t>CO2 Quantity</t>
  </si>
  <si>
    <t>kg</t>
  </si>
  <si>
    <t>The Required Number of Cylinders</t>
  </si>
  <si>
    <t>Based on the recommended cylinder size is 45 kg</t>
  </si>
  <si>
    <t>W = V/S*{C/(100-C)}</t>
  </si>
  <si>
    <t>W = weight of clean agent [Ib (kg)].</t>
  </si>
  <si>
    <t>V = net volume of hazard [ft3 (m3).</t>
  </si>
  <si>
    <t>S = specific volume of the superheated agent vapor at 1 atmosphere and the temperature, t [ft3/Ib (m3/kg)].</t>
  </si>
  <si>
    <t>(NFPA 2001, edition 2000, item 3-5.1)</t>
  </si>
  <si>
    <t>S = 2.2075 (ft3/Ib) at t = 70 (Fo)</t>
  </si>
  <si>
    <t>(NFPA 2001, edition 2000, Appendix A, table A-3-5.1(k))</t>
  </si>
  <si>
    <t>S=</t>
  </si>
  <si>
    <t>If the room temp. will be not be less than 20oC</t>
  </si>
  <si>
    <t>W=</t>
  </si>
  <si>
    <t>Ib</t>
  </si>
  <si>
    <t>The Required Cylinders Capacity (Ib.)</t>
  </si>
  <si>
    <t>SUM</t>
  </si>
  <si>
    <t>Clylider Sizes</t>
  </si>
  <si>
    <t>Required No. of discharge nozzle</t>
  </si>
  <si>
    <t>Agent flow rate = W/t</t>
  </si>
  <si>
    <t>Where t = maximum discharge time (10 sec.)</t>
  </si>
  <si>
    <t xml:space="preserve">Agent flow rate = </t>
  </si>
  <si>
    <t>lb/sec</t>
  </si>
  <si>
    <t>Required No. of discharge nozzle = Total flow rate / average flow rate per nozzle (20 Ib / Sec.)</t>
  </si>
  <si>
    <t>Required No. of discharge nozzle =</t>
  </si>
  <si>
    <t>Check the Room Concentration</t>
  </si>
  <si>
    <t>Check for t = 90 (oF)</t>
  </si>
  <si>
    <t>C=</t>
  </si>
  <si>
    <t>The Room Concentration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</si>
</sst>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ahoma"/>
      <family val="2"/>
    </font>
    <font>
      <i/>
      <sz val="12"/>
      <color theme="1"/>
      <name val="Calibri"/>
      <family val="2"/>
      <scheme val="minor"/>
    </font>
    <font>
      <i/>
      <sz val="12"/>
      <color theme="1"/>
      <name val="Tahoma"/>
      <family val="2"/>
    </font>
    <font>
      <sz val="12"/>
      <color theme="1"/>
      <name val="Tahoma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9" fillId="0" borderId="0" xfId="0" applyFont="1"/>
    <xf numFmtId="0" fontId="8" fillId="5" borderId="4" xfId="0" applyFont="1" applyFill="1" applyBorder="1" applyAlignment="1">
      <alignment horizontal="center"/>
    </xf>
    <xf numFmtId="0" fontId="9" fillId="6" borderId="0" xfId="0" applyFont="1" applyFill="1"/>
    <xf numFmtId="0" fontId="2" fillId="6" borderId="0" xfId="0" applyFont="1" applyFill="1"/>
    <xf numFmtId="0" fontId="1" fillId="6" borderId="0" xfId="0" applyFont="1" applyFill="1"/>
    <xf numFmtId="1" fontId="1" fillId="0" borderId="5" xfId="0" applyNumberFormat="1" applyFont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4" fillId="7" borderId="0" xfId="0" applyFont="1" applyFill="1"/>
    <xf numFmtId="0" fontId="1" fillId="7" borderId="0" xfId="0" applyFont="1" applyFill="1"/>
    <xf numFmtId="0" fontId="0" fillId="7" borderId="0" xfId="0" applyFill="1"/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0" fontId="1" fillId="5" borderId="5" xfId="0" applyFont="1" applyFill="1" applyBorder="1"/>
    <xf numFmtId="0" fontId="10" fillId="5" borderId="5" xfId="0" applyFont="1" applyFill="1" applyBorder="1"/>
    <xf numFmtId="0" fontId="11" fillId="5" borderId="5" xfId="0" applyFont="1" applyFill="1" applyBorder="1"/>
    <xf numFmtId="0" fontId="11" fillId="5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1" fontId="1" fillId="5" borderId="5" xfId="0" applyNumberFormat="1" applyFont="1" applyFill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10" fillId="0" borderId="0" xfId="0" applyFont="1" applyAlignment="1">
      <alignment horizontal="center"/>
    </xf>
    <xf numFmtId="0" fontId="10" fillId="6" borderId="2" xfId="0" applyFont="1" applyFill="1" applyBorder="1"/>
    <xf numFmtId="0" fontId="10" fillId="6" borderId="3" xfId="0" applyFont="1" applyFill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8" fillId="2" borderId="0" xfId="0" applyFont="1" applyFill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3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20</xdr:row>
      <xdr:rowOff>28575</xdr:rowOff>
    </xdr:from>
    <xdr:to>
      <xdr:col>3</xdr:col>
      <xdr:colOff>904875</xdr:colOff>
      <xdr:row>20</xdr:row>
      <xdr:rowOff>228600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4F404ED-215B-89B2-99AA-2573D3B5B844}"/>
            </a:ext>
          </a:extLst>
        </xdr:cNvPr>
        <xdr:cNvSpPr/>
      </xdr:nvSpPr>
      <xdr:spPr>
        <a:xfrm>
          <a:off x="2609850" y="3600450"/>
          <a:ext cx="466725" cy="200025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3"/>
  <sheetViews>
    <sheetView workbookViewId="0">
      <selection activeCell="D13" sqref="D13"/>
    </sheetView>
  </sheetViews>
  <sheetFormatPr defaultRowHeight="15" x14ac:dyDescent="0.25"/>
  <cols>
    <col min="1" max="1" width="4.5703125" customWidth="1"/>
    <col min="2" max="4" width="14" customWidth="1"/>
  </cols>
  <sheetData>
    <row r="1" spans="1:11" ht="21.75" thickBot="1" x14ac:dyDescent="0.4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7"/>
    </row>
    <row r="2" spans="1:11" ht="7.5" customHeight="1" thickBot="1" x14ac:dyDescent="0.3"/>
    <row r="3" spans="1:11" ht="22.5" customHeight="1" thickBot="1" x14ac:dyDescent="0.3">
      <c r="A3" s="5" t="s">
        <v>1</v>
      </c>
      <c r="B3" s="6"/>
      <c r="C3" s="6"/>
      <c r="D3" s="6"/>
      <c r="E3" s="6"/>
      <c r="F3" s="6"/>
      <c r="G3" s="7"/>
    </row>
    <row r="4" spans="1:11" ht="6.75" customHeight="1" x14ac:dyDescent="0.25"/>
    <row r="5" spans="1:11" ht="15.75" x14ac:dyDescent="0.25">
      <c r="A5" s="4" t="s">
        <v>2</v>
      </c>
      <c r="B5" s="4"/>
      <c r="C5" s="4"/>
      <c r="D5" s="4"/>
      <c r="E5" s="4"/>
      <c r="F5" s="4"/>
      <c r="G5" s="4"/>
      <c r="H5" s="4"/>
    </row>
    <row r="6" spans="1:11" ht="15.75" x14ac:dyDescent="0.25">
      <c r="A6" s="8" t="s">
        <v>3</v>
      </c>
      <c r="B6" s="4"/>
      <c r="C6" s="4"/>
      <c r="D6" s="4"/>
      <c r="E6" s="4"/>
      <c r="F6" s="4"/>
      <c r="G6" s="4"/>
      <c r="H6" s="4"/>
    </row>
    <row r="7" spans="1:11" ht="15.75" x14ac:dyDescent="0.25">
      <c r="A7" s="8" t="s">
        <v>4</v>
      </c>
      <c r="B7" s="4"/>
      <c r="C7" s="4"/>
      <c r="D7" s="4"/>
      <c r="E7" s="4"/>
      <c r="F7" s="4"/>
      <c r="G7" s="4"/>
      <c r="H7" s="4"/>
    </row>
    <row r="8" spans="1:11" ht="4.5" customHeight="1" x14ac:dyDescent="0.25"/>
    <row r="9" spans="1:11" x14ac:dyDescent="0.25">
      <c r="A9" t="s">
        <v>5</v>
      </c>
    </row>
    <row r="11" spans="1:11" ht="18.75" x14ac:dyDescent="0.3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</row>
    <row r="13" spans="1:11" ht="15.75" x14ac:dyDescent="0.25">
      <c r="A13" s="48" t="s">
        <v>7</v>
      </c>
      <c r="B13" s="48"/>
      <c r="C13" s="13">
        <v>200</v>
      </c>
      <c r="D13" s="11" t="s">
        <v>8</v>
      </c>
      <c r="F13" s="1"/>
      <c r="G13" s="1"/>
      <c r="H13" s="1"/>
      <c r="I13" s="1"/>
      <c r="J13" s="1"/>
      <c r="K13" s="1"/>
    </row>
    <row r="14" spans="1:11" ht="15.75" x14ac:dyDescent="0.25">
      <c r="A14" s="48" t="s">
        <v>7</v>
      </c>
      <c r="B14" s="48"/>
      <c r="C14" s="19">
        <f>C13*35.31466672</f>
        <v>7062.933344</v>
      </c>
      <c r="D14" s="11" t="s">
        <v>9</v>
      </c>
      <c r="F14" s="1"/>
      <c r="G14" s="1"/>
      <c r="H14" s="1"/>
      <c r="I14" s="1"/>
      <c r="J14" s="1"/>
      <c r="K14" s="1"/>
    </row>
    <row r="15" spans="1:11" ht="15.75" x14ac:dyDescent="0.25">
      <c r="A15" s="49" t="s">
        <v>10</v>
      </c>
      <c r="B15" s="49"/>
      <c r="C15" s="54">
        <f>IF(C13&lt;=56.3,1.6,1.33)</f>
        <v>1.33</v>
      </c>
      <c r="D15" s="54"/>
      <c r="E15" s="1"/>
      <c r="F15" s="1"/>
      <c r="G15" s="1"/>
      <c r="H15" s="1"/>
      <c r="I15" s="1"/>
      <c r="J15" s="1"/>
      <c r="K15" s="1"/>
    </row>
    <row r="16" spans="1:11" ht="7.5" customHeight="1" x14ac:dyDescent="0.25">
      <c r="A16" s="1"/>
      <c r="B16" s="1"/>
      <c r="C16" s="1"/>
      <c r="E16" s="1"/>
      <c r="F16" s="1"/>
      <c r="G16" s="1"/>
      <c r="H16" s="1"/>
      <c r="I16" s="1"/>
      <c r="J16" s="1"/>
      <c r="K16" s="1"/>
    </row>
    <row r="17" spans="1:11" ht="19.5" thickBot="1" x14ac:dyDescent="0.35">
      <c r="A17" s="53" t="s">
        <v>11</v>
      </c>
      <c r="B17" s="53"/>
      <c r="C17" s="53"/>
      <c r="D17" s="53"/>
      <c r="E17" s="53"/>
      <c r="F17" s="53"/>
      <c r="G17" s="53"/>
      <c r="H17" s="53"/>
      <c r="I17" s="53"/>
      <c r="J17" s="53"/>
      <c r="K17" s="1"/>
    </row>
    <row r="18" spans="1:11" ht="19.5" thickBot="1" x14ac:dyDescent="0.35">
      <c r="A18" s="51" t="s">
        <v>12</v>
      </c>
      <c r="B18" s="52"/>
      <c r="C18" s="20">
        <f>C13*C15</f>
        <v>266</v>
      </c>
      <c r="D18" s="15" t="s">
        <v>13</v>
      </c>
      <c r="E18" s="1"/>
      <c r="F18" s="1"/>
      <c r="G18" s="1"/>
      <c r="H18" s="1"/>
      <c r="I18" s="1"/>
      <c r="J18" s="1"/>
      <c r="K18" s="1"/>
    </row>
    <row r="19" spans="1:11" ht="8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5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75" x14ac:dyDescent="0.3">
      <c r="A21" s="14" t="s">
        <v>14</v>
      </c>
      <c r="B21" s="2"/>
      <c r="C21" s="2"/>
      <c r="D21" s="1"/>
      <c r="E21" s="16">
        <f>ROUNDUP(C18/45,0)</f>
        <v>6</v>
      </c>
      <c r="F21" s="16" t="s">
        <v>15</v>
      </c>
      <c r="G21" s="17"/>
      <c r="H21" s="17"/>
      <c r="I21" s="17"/>
      <c r="J21" s="17"/>
      <c r="K21" s="18"/>
    </row>
    <row r="22" spans="1:1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mergeCells count="8">
    <mergeCell ref="A18:B18"/>
    <mergeCell ref="A17:J17"/>
    <mergeCell ref="C15:D15"/>
    <mergeCell ref="A1:J1"/>
    <mergeCell ref="A13:B13"/>
    <mergeCell ref="A14:B14"/>
    <mergeCell ref="A15:B15"/>
    <mergeCell ref="A11:J1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3F2E-CD39-4DF0-BCA4-6CE301FF732C}">
  <sheetPr>
    <tabColor rgb="FF92D050"/>
  </sheetPr>
  <dimension ref="A1:K45"/>
  <sheetViews>
    <sheetView tabSelected="1" workbookViewId="0">
      <selection activeCell="C16" sqref="C16"/>
    </sheetView>
  </sheetViews>
  <sheetFormatPr defaultRowHeight="15" x14ac:dyDescent="0.25"/>
  <cols>
    <col min="2" max="2" width="9.5703125" bestFit="1" customWidth="1"/>
    <col min="4" max="4" width="13" customWidth="1"/>
  </cols>
  <sheetData>
    <row r="1" spans="1:11" ht="21.75" thickBot="1" x14ac:dyDescent="0.4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7"/>
    </row>
    <row r="2" spans="1:11" ht="9" customHeight="1" thickBot="1" x14ac:dyDescent="0.3"/>
    <row r="3" spans="1:11" ht="18.75" customHeight="1" thickBot="1" x14ac:dyDescent="0.3">
      <c r="A3" s="39" t="s">
        <v>16</v>
      </c>
      <c r="B3" s="40"/>
      <c r="C3" s="41"/>
    </row>
    <row r="4" spans="1:11" ht="9" customHeight="1" x14ac:dyDescent="0.25"/>
    <row r="5" spans="1:11" ht="15.75" x14ac:dyDescent="0.25">
      <c r="A5" s="3" t="s">
        <v>2</v>
      </c>
    </row>
    <row r="6" spans="1:11" ht="15.75" x14ac:dyDescent="0.25">
      <c r="A6" s="1" t="s">
        <v>17</v>
      </c>
      <c r="B6" s="1"/>
      <c r="C6" s="1"/>
      <c r="D6" s="1"/>
      <c r="E6" s="1"/>
      <c r="F6" s="1"/>
      <c r="G6" s="1"/>
      <c r="H6" s="1"/>
      <c r="I6" s="1"/>
      <c r="J6" s="1"/>
    </row>
    <row r="7" spans="1:11" ht="15.75" x14ac:dyDescent="0.2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</row>
    <row r="8" spans="1:11" ht="15.75" x14ac:dyDescent="0.25">
      <c r="A8" s="1" t="s">
        <v>19</v>
      </c>
      <c r="B8" s="1"/>
      <c r="C8" s="1"/>
      <c r="D8" s="1"/>
      <c r="E8" s="1"/>
      <c r="F8" s="1"/>
      <c r="G8" s="1"/>
      <c r="H8" s="1"/>
      <c r="I8" s="1"/>
      <c r="J8" s="1"/>
    </row>
    <row r="9" spans="1:11" ht="15.75" x14ac:dyDescent="0.25">
      <c r="A9" s="1" t="s">
        <v>20</v>
      </c>
      <c r="B9" s="1"/>
      <c r="C9" s="1"/>
      <c r="D9" s="1"/>
      <c r="E9" s="1"/>
      <c r="F9" s="1"/>
      <c r="G9" s="1"/>
      <c r="H9" s="1"/>
      <c r="I9" s="1"/>
      <c r="J9" s="1"/>
    </row>
    <row r="10" spans="1:11" ht="3" customHeight="1" x14ac:dyDescent="0.25"/>
    <row r="11" spans="1:11" ht="15.75" x14ac:dyDescent="0.25">
      <c r="A11" s="1" t="s">
        <v>21</v>
      </c>
    </row>
    <row r="12" spans="1:11" ht="15.75" x14ac:dyDescent="0.25">
      <c r="A12" s="1" t="s">
        <v>22</v>
      </c>
    </row>
    <row r="13" spans="1:11" ht="8.25" customHeight="1" thickBot="1" x14ac:dyDescent="0.3"/>
    <row r="14" spans="1:11" ht="19.5" thickBot="1" x14ac:dyDescent="0.35">
      <c r="A14" s="57" t="s">
        <v>6</v>
      </c>
      <c r="B14" s="58"/>
      <c r="C14" s="58"/>
      <c r="D14" s="58"/>
      <c r="E14" s="58"/>
      <c r="F14" s="58"/>
      <c r="G14" s="58"/>
      <c r="H14" s="58"/>
      <c r="I14" s="58"/>
      <c r="J14" s="58"/>
      <c r="K14" s="59"/>
    </row>
    <row r="15" spans="1:11" ht="8.25" customHeight="1" x14ac:dyDescent="0.25"/>
    <row r="16" spans="1:11" ht="15.75" x14ac:dyDescent="0.25">
      <c r="A16" s="10" t="s">
        <v>7</v>
      </c>
      <c r="B16" s="23">
        <v>200</v>
      </c>
      <c r="C16" s="12" t="s">
        <v>8</v>
      </c>
      <c r="D16" s="1"/>
      <c r="E16" s="1"/>
      <c r="F16" s="1"/>
      <c r="G16" s="1"/>
    </row>
    <row r="17" spans="1:11" ht="15.75" x14ac:dyDescent="0.25">
      <c r="A17" s="10" t="s">
        <v>7</v>
      </c>
      <c r="B17" s="31">
        <f>B16*35.31466672</f>
        <v>7062.933344</v>
      </c>
      <c r="C17" s="12" t="s">
        <v>9</v>
      </c>
      <c r="D17" s="1"/>
      <c r="E17" s="1"/>
      <c r="F17" s="1"/>
      <c r="G17" s="1"/>
    </row>
    <row r="18" spans="1:11" ht="15.75" x14ac:dyDescent="0.25">
      <c r="A18" s="10" t="s">
        <v>23</v>
      </c>
      <c r="B18" s="60">
        <v>2.2075</v>
      </c>
      <c r="C18" s="60"/>
      <c r="D18" s="24" t="s">
        <v>24</v>
      </c>
      <c r="E18" s="25"/>
      <c r="F18" s="25"/>
      <c r="G18" s="25"/>
      <c r="H18" s="26"/>
    </row>
    <row r="19" spans="1:11" ht="6.75" customHeight="1" thickBot="1" x14ac:dyDescent="0.3"/>
    <row r="20" spans="1:11" ht="19.5" thickBot="1" x14ac:dyDescent="0.3">
      <c r="A20" s="61" t="s">
        <v>11</v>
      </c>
      <c r="B20" s="62"/>
      <c r="C20" s="62"/>
      <c r="D20" s="62"/>
      <c r="E20" s="62"/>
      <c r="F20" s="62"/>
      <c r="G20" s="62"/>
      <c r="H20" s="62"/>
      <c r="I20" s="62"/>
      <c r="J20" s="62"/>
      <c r="K20" s="63"/>
    </row>
    <row r="21" spans="1:11" s="27" customFormat="1" ht="12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15.75" x14ac:dyDescent="0.25">
      <c r="A22" s="60" t="s">
        <v>25</v>
      </c>
      <c r="B22" s="38">
        <f>((B17/B18)*(7/(100-7)))*1.2</f>
        <v>288.98861452087823</v>
      </c>
      <c r="C22" s="37" t="s">
        <v>26</v>
      </c>
    </row>
    <row r="23" spans="1:11" ht="15.75" x14ac:dyDescent="0.25">
      <c r="A23" s="60"/>
      <c r="B23" s="38">
        <f>B22*0.45359237</f>
        <v>131.08303056354157</v>
      </c>
      <c r="C23" s="37" t="s">
        <v>13</v>
      </c>
    </row>
    <row r="24" spans="1:11" ht="7.5" customHeight="1" x14ac:dyDescent="0.25"/>
    <row r="25" spans="1:11" ht="19.5" thickBot="1" x14ac:dyDescent="0.35">
      <c r="A25" s="9" t="s">
        <v>27</v>
      </c>
    </row>
    <row r="26" spans="1:11" ht="15.75" thickBot="1" x14ac:dyDescent="0.3">
      <c r="K26" s="30" t="s">
        <v>28</v>
      </c>
    </row>
    <row r="27" spans="1:11" ht="16.5" thickBot="1" x14ac:dyDescent="0.3">
      <c r="A27" s="33" t="s">
        <v>29</v>
      </c>
      <c r="B27" s="34"/>
      <c r="C27" s="35">
        <v>17</v>
      </c>
      <c r="K27" s="29">
        <f>SUM(C27:I27)</f>
        <v>17</v>
      </c>
    </row>
    <row r="28" spans="1:11" ht="9" customHeight="1" x14ac:dyDescent="0.25"/>
    <row r="29" spans="1:11" ht="17.25" customHeight="1" x14ac:dyDescent="0.25">
      <c r="A29" s="22" t="s">
        <v>30</v>
      </c>
      <c r="B29" s="1"/>
      <c r="C29" s="1"/>
      <c r="D29" s="1"/>
      <c r="E29" s="1"/>
      <c r="F29" s="1"/>
      <c r="G29" s="1"/>
      <c r="H29" s="1"/>
      <c r="I29" s="1"/>
      <c r="J29" s="1"/>
    </row>
    <row r="30" spans="1:11" ht="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ht="15.75" x14ac:dyDescent="0.25">
      <c r="A31" s="1" t="s">
        <v>31</v>
      </c>
      <c r="B31" s="1"/>
      <c r="C31" s="1"/>
      <c r="D31" s="1"/>
      <c r="E31" s="1"/>
      <c r="F31" s="1"/>
      <c r="G31" s="1"/>
      <c r="H31" s="1"/>
      <c r="I31" s="1"/>
      <c r="J31" s="1"/>
    </row>
    <row r="32" spans="1:11" ht="15.75" x14ac:dyDescent="0.25">
      <c r="A32" s="1" t="s">
        <v>32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9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x14ac:dyDescent="0.25">
      <c r="A34" s="33" t="s">
        <v>33</v>
      </c>
      <c r="B34" s="32"/>
      <c r="C34" s="36">
        <f>K27/10</f>
        <v>1.7</v>
      </c>
      <c r="D34" s="36" t="s">
        <v>34</v>
      </c>
      <c r="E34" s="1"/>
      <c r="F34" s="1"/>
      <c r="G34" s="1"/>
      <c r="H34" s="1"/>
      <c r="I34" s="1"/>
      <c r="J34" s="1"/>
    </row>
    <row r="35" spans="1:10" ht="11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x14ac:dyDescent="0.25">
      <c r="A36" s="1" t="s">
        <v>35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10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 x14ac:dyDescent="0.3">
      <c r="A38" s="9" t="s">
        <v>36</v>
      </c>
      <c r="B38" s="1"/>
      <c r="C38" s="1"/>
      <c r="D38" s="1"/>
      <c r="E38" s="42">
        <f>ROUNDUP(J38, 0)</f>
        <v>1</v>
      </c>
      <c r="F38" s="1"/>
      <c r="G38" s="1"/>
      <c r="H38" s="1"/>
      <c r="I38" s="1"/>
      <c r="J38" s="21">
        <v>8.4999999999999992E-2</v>
      </c>
    </row>
    <row r="39" spans="1:10" ht="8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t="s">
        <v>38</v>
      </c>
    </row>
    <row r="42" spans="1:10" ht="6.75" customHeight="1" x14ac:dyDescent="0.25"/>
    <row r="43" spans="1:10" ht="15.75" x14ac:dyDescent="0.25">
      <c r="A43" s="33" t="s">
        <v>39</v>
      </c>
      <c r="B43" s="33">
        <f>(K27*100*2.2994)/(B17+(K27*2.2994))</f>
        <v>0.55040372591610354</v>
      </c>
    </row>
    <row r="44" spans="1:10" ht="15.75" thickBot="1" x14ac:dyDescent="0.3"/>
    <row r="45" spans="1:10" ht="16.5" thickBot="1" x14ac:dyDescent="0.3">
      <c r="A45" s="43" t="s">
        <v>40</v>
      </c>
      <c r="B45" s="44"/>
      <c r="C45" s="44"/>
      <c r="D45" s="55" t="str">
        <f>LOOKUP(B43,{0,6.7,9.1,10.5},{"Not Accept","Accept","Accept for One Minute","Not Accept"})</f>
        <v>Not Accept</v>
      </c>
      <c r="E45" s="55"/>
      <c r="F45" s="56"/>
    </row>
  </sheetData>
  <mergeCells count="6">
    <mergeCell ref="A1:J1"/>
    <mergeCell ref="D45:F45"/>
    <mergeCell ref="A14:K14"/>
    <mergeCell ref="B18:C18"/>
    <mergeCell ref="A20:K20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</vt:lpstr>
      <vt:lpstr>FM200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Lashin</dc:creator>
  <cp:lastModifiedBy>asd</cp:lastModifiedBy>
  <dcterms:created xsi:type="dcterms:W3CDTF">2015-06-05T18:17:20Z</dcterms:created>
  <dcterms:modified xsi:type="dcterms:W3CDTF">2022-04-28T20:44:05Z</dcterms:modified>
</cp:coreProperties>
</file>